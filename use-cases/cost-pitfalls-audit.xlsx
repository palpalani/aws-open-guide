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tfalls Registry" sheetId="1" state="visible" r:id="rId3"/>
    <sheet name="Audit Checklist" sheetId="2" state="visible" r:id="rId4"/>
    <sheet name="Quarterly Cadence" sheetId="3" state="visible" r:id="rId5"/>
    <sheet name="About" sheetId="4" state="visible" r:id="rId6"/>
  </sheets>
  <definedNames>
    <definedName function="false" hidden="true" localSheetId="0" name="_xlnm._FilterDatabase" vbProcedure="false">'Pitfalls Registry'!$A$1:$F$14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<sst xmlns="http://schemas.openxmlformats.org/spreadsheetml/2006/main" count="171" uniqueCount="125">
  <si>
    <t xml:space="preserve">Pitfall</t>
  </si>
  <si>
    <t xml:space="preserve">Primary Cost Driver</t>
  </si>
  <si>
    <t xml:space="preserve">Why It Spirals</t>
  </si>
  <si>
    <t xml:space="preserve">Top Mitigation</t>
  </si>
  <si>
    <t xml:space="preserve">AWS Reference</t>
  </si>
  <si>
    <t xml:space="preserve">Quarterly Step</t>
  </si>
  <si>
    <t xml:space="preserve">NAT Gateway</t>
  </si>
  <si>
    <t xml:space="preserve">$0.045/hour per NAT Gateway × 3 AZs for HA = $97/mo per region just to exist - $0.045/GB processed - 100GB/day egress × 30 days = $135/mo data processing alone</t>
  </si>
  <si>
    <t xml:space="preserve">- Every byte from a private subnet to AWS services (S3, DynamoDB, ECR pulls, Secrets Manager) pays the data-processing fee - Container builds and ECS task launches pull image layers via NAT - Cross-region replication, c…</t>
  </si>
  <si>
    <t xml:space="preserve">**Gateway VPC endpoints** for S3 and DynamoDB — free, route via AWS backbone - **Interface VPC endpoints** for STS, Secrets Manager, KMS, ECR, SSM, CloudWatch Logs, etc. — $7.20/endpoint/month per AZ but pays back fas…</t>
  </si>
  <si>
    <t xml:space="preserve">https://aws.amazon.com/vpc/pricing/</t>
  </si>
  <si>
    <t xml:space="preserve">Architecture</t>
  </si>
  <si>
    <t xml:space="preserve">Cross-AZ data transfer</t>
  </si>
  <si>
    <t xml:space="preserve">- Multi-AZ ALB cross-zone load balancing → traffic re-routed across AZs unnecessarily - DB primary in AZ-1, read replicas across AZs, app servers across AZs — every read can be a cross-AZ hop - Kafka / MSK with multi-AZ…</t>
  </si>
  <si>
    <t xml:space="preserve">**Topology-aware routing** in EKS / ECS Service Connect to keep traffic within AZ when possible - ALB cross-zone load balancing **off** when target sets are evenly sized per AZ - Kafka tiered storage and rack-aware pr…</t>
  </si>
  <si>
    <t xml:space="preserve">https://aws.amazon.com/ec2/pricing/on-demand/#Data_Transfer</t>
  </si>
  <si>
    <t xml:space="preserve">CloudWatch Logs</t>
  </si>
  <si>
    <t xml:space="preserve">**Ingestion:** $0.50/GB - **Storage:** $0.03/GB/month - **CloudWatch Logs Insights queries:** $0.005/GB scanned</t>
  </si>
  <si>
    <t xml:space="preserve">- Verbose application logs with full request/response bodies - Lambda logs every invocation by default; one chatty Lambda at 100 invocations/sec = ~1MB/sec = ~30TB/year ingestion = $15k/yr in ingestion alone - VPC Flow…</t>
  </si>
  <si>
    <t xml:space="preserve">**Log retention** — set explicit retention (7d, 30d, 90d) on every log group - **Sample debug logs** in production; INFO/WARN/ERROR only for steady state - **Ship to S3** via subscription filter → Firehose → S3 (S3 st…</t>
  </si>
  <si>
    <t xml:space="preserve">https://aws.amazon.com/cloudwatch/pricing/</t>
  </si>
  <si>
    <t xml:space="preserve">Governance</t>
  </si>
  <si>
    <t xml:space="preserve">Egress to internet</t>
  </si>
  <si>
    <t xml:space="preserve">First 100GB/month free - Up to 10TB/month: $0.09/GB - Tiered down to ~$0.05/GB at 150TB/month</t>
  </si>
  <si>
    <t xml:space="preserve">- API responses to mobile/web clients at scale - Public image / video / file downloads - API replies to webhooks back out to customer infrastructure - Cross-cloud sync (data lake to BigQuery, etc.)</t>
  </si>
  <si>
    <t xml:space="preserve">**CloudFront** for cacheable content — egress from CloudFront is cheaper than from EC2/S3 directly, and free between AWS and CloudFront edge - **CloudFront origin shield** for additional cache layer - **S3 + CloudFron…</t>
  </si>
  <si>
    <t xml:space="preserve">https://aws.amazon.com/cloudfront/pricing/</t>
  </si>
  <si>
    <t xml:space="preserve">DynamoDB hot partitions and scan-heavy tables</t>
  </si>
  <si>
    <t xml:space="preserve">On-demand: $1.25 per 1M write requests, $0.25 per 1M read requests - Provisioned: WCU $0.00065/hr, RCU $0.00013/hr - A `Scan` reads every item — full-table scan on a 100GB table = millions of read units</t>
  </si>
  <si>
    <t xml:space="preserve">- Bad partition key choice → hot partition → throttling → app retries → more capacity needed - Generic `Scan` on a non-trivial table — once is fine, in a hot loop is catastrophic - Switching from provisioned to on-deman…</t>
  </si>
  <si>
    <t xml:space="preserve">Model partition key for **uniform distribution** — high-cardinality, well-distributed - Use `Query` not `Scan`; create a GSI before resorting to `Scan` - Provisioned + autoscaling for predictable workloads; on-demand…</t>
  </si>
  <si>
    <t xml:space="preserve">https://aws.amazon.com/dynamodb/pricing/</t>
  </si>
  <si>
    <t xml:space="preserve">Rightsizing</t>
  </si>
  <si>
    <t xml:space="preserve">S3 small-object PUT-heavy without aggregation</t>
  </si>
  <si>
    <t xml:space="preserve">S3 Standard PUT/COPY/POST/LIST: **$0.005 per 1,000 requests** (us-east-1; verify your region on the pricing page) - Storage is cheap; **request charges dominate** when you write one tiny object per event - Example: 10…</t>
  </si>
  <si>
    <t xml:space="preserve">- Async job workers writing one result object per job (see [`async-jobs.md`](async-jobs.md)) - Event streams landing as individual S3 objects instead of batched files - No lifecycle policy — millions of small objects ac…</t>
  </si>
  <si>
    <t xml:space="preserve">**Batch before PUT** — buffer in memory or Kinesis Data Firehose (60s / 5MB buffering) so one object holds many events - **Aggregate job outputs** — write NDJSON or Parquet files on a schedule, not per invocation - **…</t>
  </si>
  <si>
    <t xml:space="preserve">https://aws.amazon.com/s3/pricing/</t>
  </si>
  <si>
    <t xml:space="preserve">EBS gp2 vs gp3 (almost free win)</t>
  </si>
  <si>
    <t xml:space="preserve">gp2: $0.10/GB/month, IOPS scales with volume size - gp3: $0.08/GB/month + $0.005/IOPS-month above 3,000 baseline + $0.04/MBps-month above 125 baseline - Most gp2 volumes can be migrated in-place to gp3 with **same or…</t>
  </si>
  <si>
    <t xml:space="preserve">AWS **Compute Optimizer** flags gp2 → gp3 migrations - For most workloads, the gp3 default (3,000 IOPS, 125 MBps) is sufficient - Migrate non-prod first, then prod during a maintenance window</t>
  </si>
  <si>
    <t xml:space="preserve">https://aws.amazon.com/ebs/pricing/</t>
  </si>
  <si>
    <t xml:space="preserve">Idle resources</t>
  </si>
  <si>
    <t xml:space="preserve">- Dev/test environments left running 24/7 - Pre-prod environments with same instance class as prod - Decommissioned services with infra that nobody removed - ELBs with no targets, EIPs not attached, EBS volumes unattach…</t>
  </si>
  <si>
    <t xml:space="preserve">**AWS Compute Optimizer** identifies under-utilised resources - **AWS Trusted Advisor** flags idle resources (free at Business+ Support) - **Instance Scheduler** to start/stop dev environments outside business hours -…</t>
  </si>
  <si>
    <t xml:space="preserve">https://aws.amazon.com/compute-optimizer/</t>
  </si>
  <si>
    <t xml:space="preserve">Waste</t>
  </si>
  <si>
    <t xml:space="preserve">Lambda over-provisioned memory</t>
  </si>
  <si>
    <t xml:space="preserve">- Default 128MB is often too low (slow); first instinct is to crank to 1024MB or 3008MB - More memory = more vCPU, so over-provisioned functions sometimes finish faster, but past a point you pay for unused capacity - Op…</t>
  </si>
  <si>
    <t xml:space="preserve">**AWS Lambda Power Tuning** — open-source Step Functions tool that runs your function at every memory setting and plots cost vs duration - Optimise for cost-per-invocation, not just speed - Re-tune when code changes m…</t>
  </si>
  <si>
    <t xml:space="preserve">https://github.com/alexcasalboni/aws-lambda-power-tuning</t>
  </si>
  <si>
    <t xml:space="preserve">Reserved capacity and Savings Plans</t>
  </si>
  <si>
    <t xml:space="preserve">**Compute Savings Plans** are flexible across EC2/Lambda/Fargate; commit at ~70% of stable baseline - **EC2 Instance Savings Plans** lower discount, more flexible across families - **Reserved Instances** for RDS, Elas…</t>
  </si>
  <si>
    <t xml:space="preserve">https://aws.amazon.com/savingsplans/</t>
  </si>
  <si>
    <t xml:space="preserve">Commitments</t>
  </si>
  <si>
    <t xml:space="preserve">Cross-region traffic</t>
  </si>
  <si>
    <t xml:space="preserve">Inter-region: $0.02/GB (varies by source/destination region) - Multiplied by replication factor for active-active multi-region</t>
  </si>
  <si>
    <t xml:space="preserve">- Multi-region active-active without locality routing → users in EU hitting US backends - DynamoDB Global Tables replication - S3 Cross-Region Replication - Logs / metrics / observability data centralised in one region</t>
  </si>
  <si>
    <t xml:space="preserve">**Latency-based routing** at Route 53 to keep users in their nearest region - For DR-only multi-region (warm standby), don't replicate hot data — replicate config and run minimal warm capacity - Consolidate logs in S3…</t>
  </si>
  <si>
    <t xml:space="preserve">https://www.factualminds.com/blog/multi-region-aws-without-doubling-costs/</t>
  </si>
  <si>
    <t xml:space="preserve">Free-tier-as-DoS</t>
  </si>
  <si>
    <t xml:space="preserve">- Self-serve sign-up with no rate limit on account creation - Free-tier customer with no usage caps consuming significant resources - Adversary signs up many free accounts, runs expensive operations on each</t>
  </si>
  <si>
    <t xml:space="preserve">**CAPTCHA / WAF** on sign-up endpoint - **Email verification** before any provisioning - **Per-tenant cost cap** — soft suspension at threshold - **Anomaly detection** on per-tenant resource usage - AWS WAF rate-limit…</t>
  </si>
  <si>
    <t xml:space="preserve">https://www.factualminds.com/blog/protect-aws-infrastructure-cost-based-attacks/</t>
  </si>
  <si>
    <t xml:space="preserve">Bedrock and GenAI tokens</t>
  </si>
  <si>
    <t xml:space="preserve">Bedrock charges per 1k input tokens + per 1k output tokens; varies by model (Claude Sonnet 4.5 ≈ $3 in / $15 out per 1M tokens) - Embedding models cheap per token but sum quickly at high volume - Vector DB storage and…</t>
  </si>
  <si>
    <t xml:space="preserve">- Long system prompts repeated per request without caching - RAG pipelines retrieving more context than needed → token bloat → cost + latency - Agent loops without termination conditions - Streaming output where users a…</t>
  </si>
  <si>
    <t xml:space="preserve">**Prompt caching** for repeated prefixes (system prompts, RAG documents, tool definitions) — cached reads bill at a reduced rate; cache writes can cost more than standard input tokens. Claude Sonnet 4.5 requires **≥4,…</t>
  </si>
  <si>
    <t xml:space="preserve">https://aws.amazon.com/bedrock/pricing/</t>
  </si>
  <si>
    <t xml:space="preserve">#</t>
  </si>
  <si>
    <t xml:space="preserve">Checklist Item</t>
  </si>
  <si>
    <t xml:space="preserve">Owner</t>
  </si>
  <si>
    <t xml:space="preserve">Status</t>
  </si>
  <si>
    <t xml:space="preserve">Notes</t>
  </si>
  <si>
    <t xml:space="preserve">Source Section</t>
  </si>
  <si>
    <t xml:space="preserve">Account-level budget with alarms at 50%, 80%, 100%, 150% of monthly target</t>
  </si>
  <si>
    <t xml:space="preserve">Not started</t>
  </si>
  <si>
    <t xml:space="preserve">cost-pitfalls.md</t>
  </si>
  <si>
    <t xml:space="preserve">Per-service alarms on top 3 spenders</t>
  </si>
  <si>
    <t xml:space="preserve">Anomaly detection enabled</t>
  </si>
  <si>
    <t xml:space="preserve">Tag policy enforced via SCP; un-tagged resources flagged daily</t>
  </si>
  <si>
    <t xml:space="preserve">Cost Categories rolling tags up to per-team / per-product / per-tenant</t>
  </si>
  <si>
    <t xml:space="preserve">Compute Optimizer recommendations reviewed for EC2, EBS, Lambda, and RDS</t>
  </si>
  <si>
    <t xml:space="preserve">Savings Plans / RI coverage within 60–80% of stable baseline</t>
  </si>
  <si>
    <t xml:space="preserve">Spot or Fargate Spot evaluated for fault-tolerant batch and CI workloads</t>
  </si>
  <si>
    <t xml:space="preserve">S3 lifecycle and Intelligent-Tiering on buckets without a retention policy</t>
  </si>
  <si>
    <t xml:space="preserve">Cost Categories and required tag keys enforced (Tag Policies or Config rules)</t>
  </si>
  <si>
    <t xml:space="preserve">Quarterly Savings Plan review with commit at 60–80% of stable baseline</t>
  </si>
  <si>
    <t xml:space="preserve">Quarterly cleanup sweep — un-attached EBS volumes, idle ELBs, un-attached EIPs, unused snapshots</t>
  </si>
  <si>
    <t xml:space="preserve">VPC endpoint coverage audit — every AWS service Lambda/ECS reaches has an endpoint or a justification</t>
  </si>
  <si>
    <t xml:space="preserve">CloudWatch log retention policy on every log group</t>
  </si>
  <si>
    <t xml:space="preserve">EBS gp2 → gp3 migration completed</t>
  </si>
  <si>
    <t xml:space="preserve">Lambda Power Tuning run on top 5 most-invoked functions</t>
  </si>
  <si>
    <t xml:space="preserve">Progress</t>
  </si>
  <si>
    <t xml:space="preserve">% Complete</t>
  </si>
  <si>
    <t xml:space="preserve">Step</t>
  </si>
  <si>
    <t xml:space="preserve">Focus Area</t>
  </si>
  <si>
    <t xml:space="preserve">Key Actions</t>
  </si>
  <si>
    <t xml:space="preserve">Playbook Section</t>
  </si>
  <si>
    <t xml:space="preserve">1</t>
  </si>
  <si>
    <t xml:space="preserve">Visibility</t>
  </si>
  <si>
    <t xml:space="preserve">Slice [Cost Explorer](https://aws.amazon.com/aws-cost-management/aws-cost-explorer/) by service, tag, and region. Review [Cost Optimization Hub](https://aws.amazon.com/aws-cost-management/cost-optimization-hub/) or CUR exports for recommendations. Triage open [Cost Anomaly Detec…</t>
  </si>
  <si>
    <t xml:space="preserve">2</t>
  </si>
  <si>
    <t xml:space="preserve">Hunt idle EC2, RDS, ELB, EIP, and unattached EBS ([Idle resources](#idle-resources)). Use Trusted Advisor, [Finala](https://github.com/similarweb/finala), or Cost Optimization Hub idle-resource findings.</t>
  </si>
  <si>
    <t xml:space="preserve">idle-resources</t>
  </si>
  <si>
    <t xml:space="preserve">3</t>
  </si>
  <si>
    <t xml:space="preserve">Export [Compute Optimizer](#idle-resources) recommendations for EC2, EBS, Lambda, and RDS. Run [Lambda Power Tuning](#lambda-over-provisioned-memory) on the top 10 functions by spend. Migrate remaining gp2 volumes to gp3 ([EBS gp2 vs gp3](#ebs-gp2-vs-gp3-almost-free-win)).</t>
  </si>
  <si>
    <t xml:space="preserve">4</t>
  </si>
  <si>
    <t xml:space="preserve">Review Savings Plans and RI coverage in Cost Explorer. Commit at **60–80%** of stable baseline, not 100% ([Reserved capacity and Savings Plans](#reserved-capacity-and-savings-plans)).</t>
  </si>
  <si>
    <t xml:space="preserve">reserved-capacity-and-savings-plans</t>
  </si>
  <si>
    <t xml:space="preserve">5</t>
  </si>
  <si>
    <t xml:space="preserve">[VPC endpoint coverage audit](#nat-gateway) for every service Lambda or ECS reaches. Set S3 [lifecycle policies](https://docs.aws.amazon.com/AmazonS3/latest/userguide/object-lifecycle-mgmt.html) and Intelligent-Tiering where access is unpredictable. Review cross-AZ topology ([Cr…</t>
  </si>
  <si>
    <t xml:space="preserve">nat-gateway</t>
  </si>
  <si>
    <t xml:space="preserve">6</t>
  </si>
  <si>
    <t xml:space="preserve">Verify required tag keys and [Cost Categories](https://docs.aws.amazon.com/awsaccountbilling/latest/aboutv2/manage-cost-categories.html). Refresh budget thresholds and [budget actions](https://docs.aws.amazon.com/cost-management/latest/userguide/budgets-action-configure.html). U…</t>
  </si>
  <si>
    <t xml:space="preserve">Source</t>
  </si>
  <si>
    <t xml:space="preserve">use-cases/cost-pitfalls.md</t>
  </si>
  <si>
    <t xml:space="preserve">Generated by</t>
  </si>
  <si>
    <t xml:space="preserve">scripts/generate_cost_pitfalls_audit.py</t>
  </si>
  <si>
    <t xml:space="preserve">Purpose</t>
  </si>
  <si>
    <t xml:space="preserve">Quarterly AWS cost audit workbook — filter pitfalls, track checklist, follow cadence</t>
  </si>
  <si>
    <t xml:space="preserve">Pricing note</t>
  </si>
  <si>
    <t xml:space="preserve">Verify all dollar figures on linked AWS pricing pages before committing</t>
  </si>
  <si>
    <t xml:space="preserve">Last synced</t>
  </si>
  <si>
    <t xml:space="preserve">2026-06-12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</si>
</sst>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2F3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32F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ws.amazon.com/vpc/pricing/" TargetMode="External"/><Relationship Id="rId2" Type="http://schemas.openxmlformats.org/officeDocument/2006/relationships/hyperlink" Target="https://aws.amazon.com/ec2/pricing/on-demand/" TargetMode="External"/><Relationship Id="rId3" Type="http://schemas.openxmlformats.org/officeDocument/2006/relationships/hyperlink" Target="https://aws.amazon.com/cloudwatch/pricing/" TargetMode="External"/><Relationship Id="rId4" Type="http://schemas.openxmlformats.org/officeDocument/2006/relationships/hyperlink" Target="https://aws.amazon.com/cloudfront/pricing/" TargetMode="External"/><Relationship Id="rId5" Type="http://schemas.openxmlformats.org/officeDocument/2006/relationships/hyperlink" Target="https://aws.amazon.com/dynamodb/pricing/" TargetMode="External"/><Relationship Id="rId6" Type="http://schemas.openxmlformats.org/officeDocument/2006/relationships/hyperlink" Target="https://aws.amazon.com/s3/pricing/" TargetMode="External"/><Relationship Id="rId7" Type="http://schemas.openxmlformats.org/officeDocument/2006/relationships/hyperlink" Target="https://aws.amazon.com/ebs/pricing/" TargetMode="External"/><Relationship Id="rId8" Type="http://schemas.openxmlformats.org/officeDocument/2006/relationships/hyperlink" Target="https://aws.amazon.com/compute-optimizer/" TargetMode="External"/><Relationship Id="rId9" Type="http://schemas.openxmlformats.org/officeDocument/2006/relationships/hyperlink" Target="https://github.com/alexcasalboni/aws-lambda-power-tuning" TargetMode="External"/><Relationship Id="rId10" Type="http://schemas.openxmlformats.org/officeDocument/2006/relationships/hyperlink" Target="https://aws.amazon.com/savingsplans/" TargetMode="External"/><Relationship Id="rId11" Type="http://schemas.openxmlformats.org/officeDocument/2006/relationships/hyperlink" Target="https://www.factualminds.com/blog/multi-region-aws-without-doubling-costs/" TargetMode="External"/><Relationship Id="rId12" Type="http://schemas.openxmlformats.org/officeDocument/2006/relationships/hyperlink" Target="https://www.factualminds.com/blog/protect-aws-infrastructure-cost-based-attacks/" TargetMode="External"/><Relationship Id="rId13" Type="http://schemas.openxmlformats.org/officeDocument/2006/relationships/hyperlink" Target="https://aws.amazon.com/bedrock/pricing/" TargetMode="External"/><Relationship Id="rId1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406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4" min="3" style="0" width="38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9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customFormat="false" ht="57.7" hidden="false" customHeight="false" outlineLevel="0" collapsed="false">
      <c r="A3" s="2" t="s">
        <v>12</v>
      </c>
      <c r="B3" s="2"/>
      <c r="C3" s="2" t="s">
        <v>13</v>
      </c>
      <c r="D3" s="2" t="s">
        <v>14</v>
      </c>
      <c r="E3" s="3" t="s">
        <v>15</v>
      </c>
      <c r="F3" s="2" t="s">
        <v>11</v>
      </c>
    </row>
    <row r="4" customFormat="false" ht="69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3" t="s">
        <v>20</v>
      </c>
      <c r="F4" s="2" t="s">
        <v>21</v>
      </c>
    </row>
    <row r="5" customFormat="false" ht="57.7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2" t="s">
        <v>11</v>
      </c>
    </row>
    <row r="6" customFormat="false" ht="80.2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3" t="s">
        <v>31</v>
      </c>
      <c r="F6" s="2" t="s">
        <v>32</v>
      </c>
    </row>
    <row r="7" customFormat="false" ht="91.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3" t="s">
        <v>37</v>
      </c>
      <c r="F7" s="2" t="s">
        <v>11</v>
      </c>
    </row>
    <row r="8" customFormat="false" ht="91.5" hidden="false" customHeight="false" outlineLevel="0" collapsed="false">
      <c r="A8" s="2" t="s">
        <v>38</v>
      </c>
      <c r="B8" s="2" t="s">
        <v>39</v>
      </c>
      <c r="C8" s="2"/>
      <c r="D8" s="2" t="s">
        <v>40</v>
      </c>
      <c r="E8" s="3" t="s">
        <v>41</v>
      </c>
      <c r="F8" s="2" t="s">
        <v>32</v>
      </c>
    </row>
    <row r="9" customFormat="false" ht="57.7" hidden="false" customHeight="false" outlineLevel="0" collapsed="false">
      <c r="A9" s="2" t="s">
        <v>42</v>
      </c>
      <c r="B9" s="2"/>
      <c r="C9" s="2" t="s">
        <v>43</v>
      </c>
      <c r="D9" s="2" t="s">
        <v>44</v>
      </c>
      <c r="E9" s="3" t="s">
        <v>45</v>
      </c>
      <c r="F9" s="2" t="s">
        <v>46</v>
      </c>
    </row>
    <row r="10" customFormat="false" ht="69" hidden="false" customHeight="false" outlineLevel="0" collapsed="false">
      <c r="A10" s="2" t="s">
        <v>47</v>
      </c>
      <c r="B10" s="2"/>
      <c r="C10" s="2" t="s">
        <v>48</v>
      </c>
      <c r="D10" s="2" t="s">
        <v>49</v>
      </c>
      <c r="E10" s="3" t="s">
        <v>50</v>
      </c>
      <c r="F10" s="2" t="s">
        <v>32</v>
      </c>
    </row>
    <row r="11" customFormat="false" ht="69" hidden="false" customHeight="false" outlineLevel="0" collapsed="false">
      <c r="A11" s="2" t="s">
        <v>51</v>
      </c>
      <c r="B11" s="2"/>
      <c r="C11" s="2"/>
      <c r="D11" s="2" t="s">
        <v>52</v>
      </c>
      <c r="E11" s="3" t="s">
        <v>53</v>
      </c>
      <c r="F11" s="2" t="s">
        <v>54</v>
      </c>
    </row>
    <row r="12" customFormat="false" ht="57.7" hidden="false" customHeight="false" outlineLevel="0" collapsed="false">
      <c r="A12" s="2" t="s">
        <v>55</v>
      </c>
      <c r="B12" s="2" t="s">
        <v>56</v>
      </c>
      <c r="C12" s="2" t="s">
        <v>57</v>
      </c>
      <c r="D12" s="2" t="s">
        <v>58</v>
      </c>
      <c r="E12" s="3" t="s">
        <v>59</v>
      </c>
      <c r="F12" s="2" t="s">
        <v>11</v>
      </c>
    </row>
    <row r="13" customFormat="false" ht="57.7" hidden="false" customHeight="false" outlineLevel="0" collapsed="false">
      <c r="A13" s="2" t="s">
        <v>60</v>
      </c>
      <c r="B13" s="2"/>
      <c r="C13" s="2" t="s">
        <v>61</v>
      </c>
      <c r="D13" s="2" t="s">
        <v>62</v>
      </c>
      <c r="E13" s="3" t="s">
        <v>63</v>
      </c>
      <c r="F13" s="2" t="s">
        <v>21</v>
      </c>
    </row>
    <row r="14" customFormat="false" ht="91.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3" t="s">
        <v>68</v>
      </c>
      <c r="F14" s="2" t="s">
        <v>32</v>
      </c>
    </row>
  </sheetData>
  <autoFilter ref="A1:F14"/>
  <hyperlinks>
    <hyperlink ref="E2" r:id="rId1" display="https://aws.amazon.com/vpc/pricing/"/>
    <hyperlink ref="E3" r:id="rId2" location="Data_Transfer" display="https://aws.amazon.com/ec2/pricing/on-demand/#Data_Transfer"/>
    <hyperlink ref="E4" r:id="rId3" display="https://aws.amazon.com/cloudwatch/pricing/"/>
    <hyperlink ref="E5" r:id="rId4" display="https://aws.amazon.com/cloudfront/pricing/"/>
    <hyperlink ref="E6" r:id="rId5" display="https://aws.amazon.com/dynamodb/pricing/"/>
    <hyperlink ref="E7" r:id="rId6" display="https://aws.amazon.com/s3/pricing/"/>
    <hyperlink ref="E8" r:id="rId7" display="https://aws.amazon.com/ebs/pricing/"/>
    <hyperlink ref="E9" r:id="rId8" display="https://aws.amazon.com/compute-optimizer/"/>
    <hyperlink ref="E10" r:id="rId9" display="https://github.com/alexcasalboni/aws-lambda-power-tuning"/>
    <hyperlink ref="E11" r:id="rId10" display="https://aws.amazon.com/savingsplans/"/>
    <hyperlink ref="E12" r:id="rId11" display="https://www.factualminds.com/blog/multi-region-aws-without-doubling-costs/"/>
    <hyperlink ref="E13" r:id="rId12" display="https://www.factualminds.com/blog/protect-aws-infrastructure-cost-based-attacks/"/>
    <hyperlink ref="E14" r:id="rId13" display="https://aws.amazon.com/bedrock/pricin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406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</row>
    <row r="2" customFormat="false" ht="23.9" hidden="false" customHeight="false" outlineLevel="0" collapsed="false">
      <c r="A2" s="4" t="n">
        <v>1</v>
      </c>
      <c r="B2" s="2" t="s">
        <v>75</v>
      </c>
      <c r="C2" s="4"/>
      <c r="D2" s="5" t="s">
        <v>76</v>
      </c>
      <c r="E2" s="4"/>
      <c r="F2" s="6" t="s">
        <v>77</v>
      </c>
    </row>
    <row r="3" customFormat="false" ht="15" hidden="false" customHeight="false" outlineLevel="0" collapsed="false">
      <c r="A3" s="4" t="n">
        <v>2</v>
      </c>
      <c r="B3" s="2" t="s">
        <v>78</v>
      </c>
      <c r="C3" s="4"/>
      <c r="D3" s="5" t="s">
        <v>76</v>
      </c>
      <c r="E3" s="4"/>
      <c r="F3" s="6" t="s">
        <v>77</v>
      </c>
    </row>
    <row r="4" customFormat="false" ht="15" hidden="false" customHeight="false" outlineLevel="0" collapsed="false">
      <c r="A4" s="4" t="n">
        <v>3</v>
      </c>
      <c r="B4" s="2" t="s">
        <v>79</v>
      </c>
      <c r="C4" s="4"/>
      <c r="D4" s="5" t="s">
        <v>76</v>
      </c>
      <c r="E4" s="4"/>
      <c r="F4" s="6" t="s">
        <v>77</v>
      </c>
    </row>
    <row r="5" customFormat="false" ht="15" hidden="false" customHeight="false" outlineLevel="0" collapsed="false">
      <c r="A5" s="4" t="n">
        <v>4</v>
      </c>
      <c r="B5" s="2" t="s">
        <v>80</v>
      </c>
      <c r="C5" s="4"/>
      <c r="D5" s="5" t="s">
        <v>76</v>
      </c>
      <c r="E5" s="4"/>
      <c r="F5" s="6" t="s">
        <v>77</v>
      </c>
    </row>
    <row r="6" customFormat="false" ht="15" hidden="false" customHeight="false" outlineLevel="0" collapsed="false">
      <c r="A6" s="4" t="n">
        <v>5</v>
      </c>
      <c r="B6" s="2" t="s">
        <v>81</v>
      </c>
      <c r="C6" s="4"/>
      <c r="D6" s="5" t="s">
        <v>76</v>
      </c>
      <c r="E6" s="4"/>
      <c r="F6" s="6" t="s">
        <v>77</v>
      </c>
    </row>
    <row r="7" customFormat="false" ht="23.9" hidden="false" customHeight="false" outlineLevel="0" collapsed="false">
      <c r="A7" s="4" t="n">
        <v>6</v>
      </c>
      <c r="B7" s="2" t="s">
        <v>82</v>
      </c>
      <c r="C7" s="4"/>
      <c r="D7" s="5" t="s">
        <v>76</v>
      </c>
      <c r="E7" s="4"/>
      <c r="F7" s="6" t="s">
        <v>77</v>
      </c>
    </row>
    <row r="8" customFormat="false" ht="15" hidden="false" customHeight="false" outlineLevel="0" collapsed="false">
      <c r="A8" s="4" t="n">
        <v>7</v>
      </c>
      <c r="B8" s="2" t="s">
        <v>83</v>
      </c>
      <c r="C8" s="4"/>
      <c r="D8" s="5" t="s">
        <v>76</v>
      </c>
      <c r="E8" s="4"/>
      <c r="F8" s="6" t="s">
        <v>77</v>
      </c>
    </row>
    <row r="9" customFormat="false" ht="15" hidden="false" customHeight="false" outlineLevel="0" collapsed="false">
      <c r="A9" s="4" t="n">
        <v>8</v>
      </c>
      <c r="B9" s="2" t="s">
        <v>84</v>
      </c>
      <c r="C9" s="4"/>
      <c r="D9" s="5" t="s">
        <v>76</v>
      </c>
      <c r="E9" s="4"/>
      <c r="F9" s="6" t="s">
        <v>77</v>
      </c>
    </row>
    <row r="10" customFormat="false" ht="15" hidden="false" customHeight="false" outlineLevel="0" collapsed="false">
      <c r="A10" s="4" t="n">
        <v>9</v>
      </c>
      <c r="B10" s="2" t="s">
        <v>85</v>
      </c>
      <c r="C10" s="4"/>
      <c r="D10" s="5" t="s">
        <v>76</v>
      </c>
      <c r="E10" s="4"/>
      <c r="F10" s="6" t="s">
        <v>77</v>
      </c>
    </row>
    <row r="11" customFormat="false" ht="15" hidden="false" customHeight="false" outlineLevel="0" collapsed="false">
      <c r="A11" s="4" t="n">
        <v>10</v>
      </c>
      <c r="B11" s="2" t="s">
        <v>86</v>
      </c>
      <c r="C11" s="4"/>
      <c r="D11" s="5" t="s">
        <v>76</v>
      </c>
      <c r="E11" s="4"/>
      <c r="F11" s="6" t="s">
        <v>77</v>
      </c>
    </row>
    <row r="12" customFormat="false" ht="15" hidden="false" customHeight="false" outlineLevel="0" collapsed="false">
      <c r="A12" s="4" t="n">
        <v>11</v>
      </c>
      <c r="B12" s="2" t="s">
        <v>87</v>
      </c>
      <c r="C12" s="4"/>
      <c r="D12" s="5" t="s">
        <v>76</v>
      </c>
      <c r="E12" s="4"/>
      <c r="F12" s="6" t="s">
        <v>77</v>
      </c>
    </row>
    <row r="13" customFormat="false" ht="23.9" hidden="false" customHeight="false" outlineLevel="0" collapsed="false">
      <c r="A13" s="4" t="n">
        <v>12</v>
      </c>
      <c r="B13" s="2" t="s">
        <v>88</v>
      </c>
      <c r="C13" s="4"/>
      <c r="D13" s="5" t="s">
        <v>76</v>
      </c>
      <c r="E13" s="4"/>
      <c r="F13" s="6" t="s">
        <v>77</v>
      </c>
    </row>
    <row r="14" customFormat="false" ht="23.9" hidden="false" customHeight="false" outlineLevel="0" collapsed="false">
      <c r="A14" s="4" t="n">
        <v>13</v>
      </c>
      <c r="B14" s="2" t="s">
        <v>89</v>
      </c>
      <c r="C14" s="4"/>
      <c r="D14" s="5" t="s">
        <v>76</v>
      </c>
      <c r="E14" s="4"/>
      <c r="F14" s="6" t="s">
        <v>77</v>
      </c>
    </row>
    <row r="15" customFormat="false" ht="15" hidden="false" customHeight="false" outlineLevel="0" collapsed="false">
      <c r="A15" s="4" t="n">
        <v>14</v>
      </c>
      <c r="B15" s="2" t="s">
        <v>90</v>
      </c>
      <c r="C15" s="4"/>
      <c r="D15" s="5" t="s">
        <v>76</v>
      </c>
      <c r="E15" s="4"/>
      <c r="F15" s="6" t="s">
        <v>77</v>
      </c>
    </row>
    <row r="16" customFormat="false" ht="15" hidden="false" customHeight="false" outlineLevel="0" collapsed="false">
      <c r="A16" s="4" t="n">
        <v>15</v>
      </c>
      <c r="B16" s="2" t="s">
        <v>91</v>
      </c>
      <c r="C16" s="4"/>
      <c r="D16" s="5" t="s">
        <v>76</v>
      </c>
      <c r="E16" s="4"/>
      <c r="F16" s="6" t="s">
        <v>77</v>
      </c>
    </row>
    <row r="17" customFormat="false" ht="15" hidden="false" customHeight="false" outlineLevel="0" collapsed="false">
      <c r="A17" s="4" t="n">
        <v>16</v>
      </c>
      <c r="B17" s="2" t="s">
        <v>92</v>
      </c>
      <c r="C17" s="4"/>
      <c r="D17" s="5" t="s">
        <v>76</v>
      </c>
      <c r="E17" s="4"/>
      <c r="F17" s="6" t="s">
        <v>77</v>
      </c>
    </row>
    <row r="19" customFormat="false" ht="15" hidden="false" customHeight="false" outlineLevel="0" collapsed="false">
      <c r="A19" s="7" t="s">
        <v>93</v>
      </c>
      <c r="B19" s="7" t="str">
        <f aca="false">COUNTIF(D2:D17,"Done")&amp;" of "&amp;COUNTA(B2:B17)&amp;" complete"</f>
        <v>0 of 16 complete</v>
      </c>
    </row>
    <row r="20" customFormat="false" ht="15" hidden="false" customHeight="false" outlineLevel="0" collapsed="false">
      <c r="A20" s="7" t="s">
        <v>94</v>
      </c>
      <c r="B20" s="8" t="n">
        <f aca="false">IF(COUNTA(B2:B17)=0,"-",ROUND(COUNTIF(D2:D17,"Done")/COUNTA(B2:B17),2))</f>
        <v>0</v>
      </c>
    </row>
  </sheetData>
  <dataValidations count="1">
    <dataValidation allowBlank="true" errorStyle="stop" operator="between" showDropDown="false" showErrorMessage="false" showInputMessage="false" sqref="D2:D17" type="list">
      <formula1>"Not started,In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40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32"/>
  </cols>
  <sheetData>
    <row r="1" customFormat="false" ht="15" hidden="false" customHeight="false" outlineLevel="0" collapsed="false">
      <c r="A1" s="1" t="s">
        <v>95</v>
      </c>
      <c r="B1" s="1" t="s">
        <v>96</v>
      </c>
      <c r="C1" s="1" t="s">
        <v>97</v>
      </c>
      <c r="D1" s="1" t="s">
        <v>98</v>
      </c>
    </row>
    <row r="2" customFormat="false" ht="57.7" hidden="false" customHeight="false" outlineLevel="0" collapsed="false">
      <c r="A2" s="2" t="s">
        <v>99</v>
      </c>
      <c r="B2" s="2" t="s">
        <v>100</v>
      </c>
      <c r="C2" s="2" t="s">
        <v>101</v>
      </c>
      <c r="D2" s="2" t="s">
        <v>100</v>
      </c>
    </row>
    <row r="3" customFormat="false" ht="46.45" hidden="false" customHeight="false" outlineLevel="0" collapsed="false">
      <c r="A3" s="2" t="s">
        <v>102</v>
      </c>
      <c r="B3" s="2" t="s">
        <v>46</v>
      </c>
      <c r="C3" s="2" t="s">
        <v>103</v>
      </c>
      <c r="D3" s="2" t="s">
        <v>104</v>
      </c>
    </row>
    <row r="4" customFormat="false" ht="57.7" hidden="false" customHeight="false" outlineLevel="0" collapsed="false">
      <c r="A4" s="2" t="s">
        <v>105</v>
      </c>
      <c r="B4" s="2" t="s">
        <v>32</v>
      </c>
      <c r="C4" s="2" t="s">
        <v>106</v>
      </c>
      <c r="D4" s="2" t="s">
        <v>104</v>
      </c>
    </row>
    <row r="5" customFormat="false" ht="35.2" hidden="false" customHeight="false" outlineLevel="0" collapsed="false">
      <c r="A5" s="2" t="s">
        <v>107</v>
      </c>
      <c r="B5" s="2" t="s">
        <v>54</v>
      </c>
      <c r="C5" s="2" t="s">
        <v>108</v>
      </c>
      <c r="D5" s="2" t="s">
        <v>109</v>
      </c>
    </row>
    <row r="6" customFormat="false" ht="57.7" hidden="false" customHeight="false" outlineLevel="0" collapsed="false">
      <c r="A6" s="2" t="s">
        <v>110</v>
      </c>
      <c r="B6" s="2" t="s">
        <v>11</v>
      </c>
      <c r="C6" s="2" t="s">
        <v>111</v>
      </c>
      <c r="D6" s="2" t="s">
        <v>112</v>
      </c>
    </row>
    <row r="7" customFormat="false" ht="57.7" hidden="false" customHeight="false" outlineLevel="0" collapsed="false">
      <c r="A7" s="2" t="s">
        <v>113</v>
      </c>
      <c r="B7" s="2" t="s">
        <v>21</v>
      </c>
      <c r="C7" s="2" t="s">
        <v>114</v>
      </c>
      <c r="D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06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115</v>
      </c>
      <c r="B1" s="9" t="s">
        <v>116</v>
      </c>
    </row>
    <row r="2" customFormat="false" ht="15" hidden="false" customHeight="false" outlineLevel="0" collapsed="false">
      <c r="A2" s="7" t="s">
        <v>117</v>
      </c>
      <c r="B2" s="9" t="s">
        <v>118</v>
      </c>
    </row>
    <row r="3" customFormat="false" ht="15" hidden="false" customHeight="false" outlineLevel="0" collapsed="false">
      <c r="A3" s="7" t="s">
        <v>119</v>
      </c>
      <c r="B3" s="9" t="s">
        <v>120</v>
      </c>
    </row>
    <row r="4" customFormat="false" ht="15" hidden="false" customHeight="false" outlineLevel="0" collapsed="false">
      <c r="A4" s="7" t="s">
        <v>121</v>
      </c>
      <c r="B4" s="9" t="s">
        <v>122</v>
      </c>
    </row>
    <row r="5" customFormat="false" ht="15" hidden="false" customHeight="false" outlineLevel="0" collapsed="false">
      <c r="A5" s="7" t="s">
        <v>123</v>
      </c>
      <c r="B5" s="9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2026-06-12T05:35:29Z</dcterms:created>
  <dc:creator>openpyxl</dc:creator>
  <dc:description/>
  <dc:language>en-IN</dc:language>
  <cp:lastModifiedBy/>
  <dcterms:modified xsi:type="dcterms:W3CDTF">2026-06-12T05:35:29Z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